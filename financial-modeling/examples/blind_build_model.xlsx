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e Statemen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(#,##0\)_-;_-* &quot;-&quot;_-;_-@"/>
    <numFmt numFmtId="165" formatCode="0.0%"/>
    <numFmt numFmtId="166" formatCode="0.0000_ ;\-0.0000\ "/>
  </numFmts>
  <fonts count="9">
    <font>
      <name val="Calibri"/>
      <family val="2"/>
      <color theme="1"/>
      <sz val="11"/>
      <scheme val="minor"/>
    </font>
    <font>
      <name val="Open Sans"/>
      <b val="1"/>
      <color rgb="FF3271D2"/>
      <sz val="14"/>
    </font>
    <font>
      <name val="Arial Narrow"/>
      <b val="1"/>
      <color rgb="FF000000"/>
      <sz val="12"/>
    </font>
    <font>
      <name val="Arial Narrow"/>
      <color rgb="FF000000"/>
      <sz val="12"/>
    </font>
    <font>
      <name val="Arial Narrow"/>
      <i val="1"/>
      <color rgb="FF000000"/>
      <sz val="10"/>
    </font>
    <font>
      <name val="Arial Narrow"/>
      <b val="1"/>
      <color rgb="FF0000FF"/>
      <sz val="12"/>
    </font>
    <font>
      <name val="Arial Narrow"/>
      <color rgb="FF0000FF"/>
      <sz val="12"/>
    </font>
    <font>
      <name val="Arial Narrow"/>
      <b val="1"/>
      <color rgb="FF000000"/>
      <sz val="14"/>
    </font>
    <font>
      <name val="Arial Narrow"/>
      <b val="1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E7F2FF"/>
      </patternFill>
    </fill>
    <fill>
      <patternFill patternType="solid">
        <fgColor rgb="FF000C3F"/>
      </patternFill>
    </fill>
  </fills>
  <borders count="5">
    <border>
      <left/>
      <right/>
      <top/>
      <bottom/>
      <diagonal/>
    </border>
    <border>
      <top style="thin"/>
    </border>
    <border>
      <bottom style="thin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7" fillId="2" borderId="0" pivotButton="0" quotePrefix="0" xfId="0"/>
    <xf numFmtId="0" fontId="8" fillId="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5" fontId="3" fillId="0" borderId="1" pivotButton="0" quotePrefix="0" xfId="0"/>
    <xf numFmtId="165" fontId="6" fillId="0" borderId="1" pivotButton="0" quotePrefix="0" xfId="0"/>
    <xf numFmtId="0" fontId="3" fillId="0" borderId="0" pivotButton="0" quotePrefix="0" xfId="0"/>
    <xf numFmtId="165" fontId="3" fillId="0" borderId="0" pivotButton="0" quotePrefix="0" xfId="0"/>
    <xf numFmtId="165" fontId="6" fillId="0" borderId="0" pivotButton="0" quotePrefix="0" xfId="0"/>
    <xf numFmtId="164" fontId="3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4" fontId="2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164" fontId="6" fillId="0" borderId="2" pivotButton="0" quotePrefix="0" xfId="0"/>
    <xf numFmtId="164" fontId="3" fillId="0" borderId="2" pivotButton="0" quotePrefix="0" xfId="0"/>
    <xf numFmtId="0" fontId="2" fillId="0" borderId="3" pivotButton="0" quotePrefix="0" xfId="0"/>
    <xf numFmtId="0" fontId="0" fillId="0" borderId="3" pivotButton="0" quotePrefix="0" xfId="0"/>
    <xf numFmtId="164" fontId="2" fillId="0" borderId="3" pivotButton="0" quotePrefix="0" xfId="0"/>
    <xf numFmtId="0" fontId="2" fillId="0" borderId="4" pivotButton="0" quotePrefix="0" xfId="0"/>
    <xf numFmtId="0" fontId="0" fillId="0" borderId="4" pivotButton="0" quotePrefix="0" xfId="0"/>
    <xf numFmtId="164" fontId="2" fillId="0" borderId="4" pivotButton="0" quotePrefix="0" xfId="0"/>
    <xf numFmtId="166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>
          <bgColor rgb="00FFC7CE"/>
        </patternFill>
      </fill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Gross Profit Margin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'Three Statement Model'!$A$111</f>
            </strRef>
          </tx>
          <spPr>
            <a:ln>
              <a:prstDash val="solid"/>
            </a:ln>
          </spPr>
          <cat>
            <numRef>
              <f>'Three Statement Model'!$D$2:$M$2</f>
            </numRef>
          </cat>
          <val>
            <numRef>
              <f>'Three Statement Model'!$D$111:$M$111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'Three Statement Model'!$A$112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'Three Statement Model'!$D$2:$M$2</f>
            </numRef>
          </cat>
          <val>
            <numRef>
              <f>'Three Statement Model'!$D$112:$M$112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Flow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'Three Statement Model'!$A$114</f>
            </strRef>
          </tx>
          <spPr>
            <a:ln>
              <a:prstDash val="solid"/>
            </a:ln>
          </spPr>
          <cat>
            <numRef>
              <f>'Three Statement Model'!$D$2:$M$2</f>
            </numRef>
          </cat>
          <val>
            <numRef>
              <f>'Three Statement Model'!$D$114:$M$114</f>
            </numRef>
          </val>
        </ser>
        <ser>
          <idx val="1"/>
          <order val="1"/>
          <tx>
            <strRef>
              <f>'Three Statement Model'!$A$115</f>
            </strRef>
          </tx>
          <spPr>
            <a:ln>
              <a:prstDash val="solid"/>
            </a:ln>
          </spPr>
          <cat>
            <numRef>
              <f>'Three Statement Model'!$D$2:$M$2</f>
            </numRef>
          </cat>
          <val>
            <numRef>
              <f>'Three Statement Model'!$D$115:$M$115</f>
            </numRef>
          </val>
        </ser>
        <ser>
          <idx val="2"/>
          <order val="2"/>
          <tx>
            <strRef>
              <f>'Three Statement Model'!$A$116</f>
            </strRef>
          </tx>
          <spPr>
            <a:ln>
              <a:prstDash val="solid"/>
            </a:ln>
          </spPr>
          <cat>
            <numRef>
              <f>'Three Statement Model'!$D$2:$M$2</f>
            </numRef>
          </cat>
          <val>
            <numRef>
              <f>'Three Statement Model'!$D$116:$M$116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83" customWidth="1" min="1" max="1"/>
    <col width="12.33" customWidth="1" min="2" max="2"/>
    <col width="11.16" customWidth="1" min="3" max="3"/>
    <col width="11.66" customWidth="1" min="4" max="4"/>
  </cols>
  <sheetData>
    <row r="1" ht="16" customHeight="1">
      <c r="D1" s="1" t="inlineStr">
        <is>
          <t>Historical Results</t>
        </is>
      </c>
      <c r="I1" s="2" t="inlineStr">
        <is>
          <t xml:space="preserve"> Forecast Period</t>
        </is>
      </c>
    </row>
    <row r="2" ht="24" customHeight="1">
      <c r="D2" s="3" t="n">
        <v>2020</v>
      </c>
      <c r="E2" s="3">
        <f>+D2+1</f>
        <v/>
      </c>
      <c r="F2" s="3">
        <f>+E2+1</f>
        <v/>
      </c>
      <c r="G2" s="3">
        <f>+F2+1</f>
        <v/>
      </c>
      <c r="H2" s="3">
        <f>+G2+1</f>
        <v/>
      </c>
      <c r="I2" s="4">
        <f>+H2+1</f>
        <v/>
      </c>
      <c r="J2" s="4">
        <f>+I2+1</f>
        <v/>
      </c>
      <c r="K2" s="4">
        <f>+J2+1</f>
        <v/>
      </c>
      <c r="L2" s="4">
        <f>+K2+1</f>
        <v/>
      </c>
      <c r="M2" s="4">
        <f>+L2+1</f>
        <v/>
      </c>
    </row>
    <row r="3" ht="16" customHeight="1">
      <c r="A3" s="5" t="inlineStr">
        <is>
          <t>Balance Sheet Check</t>
        </is>
      </c>
      <c r="D3" s="6">
        <f>IFERROR(IF(ABS(D60)&gt;1,"ERROR","OK"),"ERROR")</f>
        <v/>
      </c>
      <c r="E3" s="6">
        <f>IFERROR(IF(ABS(E60)&gt;1,"ERROR","OK"),"ERROR")</f>
        <v/>
      </c>
      <c r="F3" s="6">
        <f>IFERROR(IF(ABS(F60)&gt;1,"ERROR","OK"),"ERROR")</f>
        <v/>
      </c>
      <c r="G3" s="6">
        <f>IFERROR(IF(ABS(G60)&gt;1,"ERROR","OK"),"ERROR")</f>
        <v/>
      </c>
      <c r="H3" s="6">
        <f>IFERROR(IF(ABS(H60)&gt;1,"ERROR","OK"),"ERROR")</f>
        <v/>
      </c>
      <c r="I3" s="6">
        <f>IFERROR(IF(ABS(I60)&gt;1,"ERROR","OK"),"ERROR")</f>
        <v/>
      </c>
      <c r="J3" s="6">
        <f>IFERROR(IF(ABS(J60)&gt;1,"ERROR","OK"),"ERROR")</f>
        <v/>
      </c>
      <c r="K3" s="6">
        <f>IFERROR(IF(ABS(K60)&gt;1,"ERROR","OK"),"ERROR")</f>
        <v/>
      </c>
      <c r="L3" s="6">
        <f>IFERROR(IF(ABS(L60)&gt;1,"ERROR","OK"),"ERROR")</f>
        <v/>
      </c>
      <c r="M3" s="6">
        <f>IFERROR(IF(ABS(M60)&gt;1,"ERROR","OK"),"ERROR")</f>
        <v/>
      </c>
    </row>
    <row r="4" ht="16" customHeight="1"/>
    <row r="5" ht="20" customHeight="1">
      <c r="A5" s="7" t="inlineStr">
        <is>
          <t>Assumptions</t>
        </is>
      </c>
    </row>
    <row r="6" ht="16" customHeight="1"/>
    <row r="7" ht="16" customHeight="1">
      <c r="A7" s="8" t="inlineStr">
        <is>
          <t>Key Assumptions</t>
        </is>
      </c>
    </row>
    <row r="8" ht="16" customHeight="1">
      <c r="A8" s="9" t="inlineStr">
        <is>
          <t>Revenue Growth (% Change)</t>
        </is>
      </c>
      <c r="B8" s="10" t="n"/>
      <c r="C8" s="10" t="n"/>
      <c r="D8" s="11" t="n"/>
      <c r="E8" s="12">
        <f>E26/D26-1</f>
        <v/>
      </c>
      <c r="F8" s="12">
        <f>F26/E26-1</f>
        <v/>
      </c>
      <c r="G8" s="12">
        <f>G26/F26-1</f>
        <v/>
      </c>
      <c r="H8" s="12">
        <f>H26/G26-1</f>
        <v/>
      </c>
      <c r="I8" s="13" t="n">
        <v>0.1</v>
      </c>
      <c r="J8" s="13" t="n">
        <v>0.1</v>
      </c>
      <c r="K8" s="13" t="n">
        <v>0.1</v>
      </c>
      <c r="L8" s="13" t="n">
        <v>0.1</v>
      </c>
      <c r="M8" s="13" t="n">
        <v>0.1</v>
      </c>
    </row>
    <row r="9" ht="16" customHeight="1">
      <c r="A9" s="14" t="inlineStr">
        <is>
          <t>Cost of Goods Sold (% of Revenue)</t>
        </is>
      </c>
      <c r="D9" s="15">
        <f>D27/D26</f>
        <v/>
      </c>
      <c r="E9" s="15">
        <f>E27/E26</f>
        <v/>
      </c>
      <c r="F9" s="15">
        <f>F27/F26</f>
        <v/>
      </c>
      <c r="G9" s="15">
        <f>G27/G26</f>
        <v/>
      </c>
      <c r="H9" s="15">
        <f>H27/H26</f>
        <v/>
      </c>
      <c r="I9" s="16" t="n">
        <v>0.42</v>
      </c>
      <c r="J9" s="16" t="n">
        <v>0.47</v>
      </c>
      <c r="K9" s="16" t="n">
        <v>0.5</v>
      </c>
      <c r="L9" s="16" t="n">
        <v>0.36</v>
      </c>
      <c r="M9" s="16" t="n">
        <v>0.35</v>
      </c>
    </row>
    <row r="10" ht="16" customHeight="1">
      <c r="A10" s="14" t="inlineStr">
        <is>
          <t>Salaries and Benefits (% of Revenue)</t>
        </is>
      </c>
      <c r="D10" s="15">
        <f>D30/D26</f>
        <v/>
      </c>
      <c r="E10" s="15">
        <f>E30/E26</f>
        <v/>
      </c>
      <c r="F10" s="15">
        <f>F30/F26</f>
        <v/>
      </c>
      <c r="G10" s="15">
        <f>G30/G26</f>
        <v/>
      </c>
      <c r="H10" s="15">
        <f>H30/H26</f>
        <v/>
      </c>
      <c r="I10" s="16" t="n">
        <v>0.17</v>
      </c>
      <c r="J10" s="16" t="n">
        <v>0.17</v>
      </c>
      <c r="K10" s="16" t="n">
        <v>0.17</v>
      </c>
      <c r="L10" s="16" t="n">
        <v>0.17</v>
      </c>
      <c r="M10" s="16" t="n">
        <v>0.17</v>
      </c>
    </row>
    <row r="11" ht="16" customHeight="1">
      <c r="A11" s="14" t="inlineStr">
        <is>
          <t>Rent and Overhead ($000's)</t>
        </is>
      </c>
      <c r="D11" s="17">
        <f>D31</f>
        <v/>
      </c>
      <c r="E11" s="17">
        <f>E31</f>
        <v/>
      </c>
      <c r="F11" s="17">
        <f>F31</f>
        <v/>
      </c>
      <c r="G11" s="17">
        <f>G31</f>
        <v/>
      </c>
      <c r="H11" s="17">
        <f>H31</f>
        <v/>
      </c>
      <c r="I11" s="18" t="n">
        <v>15000</v>
      </c>
      <c r="J11" s="18" t="n">
        <v>15000</v>
      </c>
      <c r="K11" s="18" t="n">
        <v>15000</v>
      </c>
      <c r="L11" s="18" t="n">
        <v>15000</v>
      </c>
      <c r="M11" s="18" t="n">
        <v>15000</v>
      </c>
    </row>
    <row r="12" ht="16" customHeight="1">
      <c r="A12" s="14" t="inlineStr">
        <is>
          <t>Depreciation &amp; Amortization (% of PP&amp;E)</t>
        </is>
      </c>
      <c r="D12" s="15">
        <f>D32/D47</f>
        <v/>
      </c>
      <c r="E12" s="15">
        <f>E32/E47</f>
        <v/>
      </c>
      <c r="F12" s="15">
        <f>F32/F47</f>
        <v/>
      </c>
      <c r="G12" s="15">
        <f>G32/G47</f>
        <v/>
      </c>
      <c r="H12" s="15">
        <f>H32/H47</f>
        <v/>
      </c>
      <c r="I12" s="16" t="n">
        <v>0.35</v>
      </c>
      <c r="J12" s="16" t="n">
        <v>0.35</v>
      </c>
      <c r="K12" s="16" t="n">
        <v>0.35</v>
      </c>
      <c r="L12" s="16" t="n">
        <v>0.35</v>
      </c>
      <c r="M12" s="16" t="n">
        <v>0.35</v>
      </c>
    </row>
    <row r="13" ht="16" customHeight="1">
      <c r="A13" s="14" t="inlineStr">
        <is>
          <t>Interest (% of Debt)</t>
        </is>
      </c>
      <c r="D13" s="15">
        <f>D33/D52</f>
        <v/>
      </c>
      <c r="E13" s="15">
        <f>E33/E52</f>
        <v/>
      </c>
      <c r="F13" s="15">
        <f>F33/F52</f>
        <v/>
      </c>
      <c r="G13" s="15">
        <f>G33/G52</f>
        <v/>
      </c>
      <c r="H13" s="15">
        <f>H33/H52</f>
        <v/>
      </c>
      <c r="I13" s="16" t="n">
        <v>0.1</v>
      </c>
      <c r="J13" s="16" t="n">
        <v>0.1</v>
      </c>
      <c r="K13" s="16" t="n">
        <v>0.1</v>
      </c>
      <c r="L13" s="16" t="n">
        <v>0.1</v>
      </c>
      <c r="M13" s="16" t="n">
        <v>0.1</v>
      </c>
    </row>
    <row r="14" ht="16" customHeight="1">
      <c r="A14" s="14" t="inlineStr">
        <is>
          <t>Tax Rate (% of Earnings Before Tax)</t>
        </is>
      </c>
      <c r="D14" s="15">
        <f>D37/D35</f>
        <v/>
      </c>
      <c r="E14" s="15">
        <f>E37/E35</f>
        <v/>
      </c>
      <c r="F14" s="15">
        <f>F37/F35</f>
        <v/>
      </c>
      <c r="G14" s="15">
        <f>G37/G35</f>
        <v/>
      </c>
      <c r="H14" s="15">
        <f>H37/H35</f>
        <v/>
      </c>
      <c r="I14" s="16" t="n">
        <v>0.28</v>
      </c>
      <c r="J14" s="16" t="n">
        <v>0.28</v>
      </c>
      <c r="K14" s="16" t="n">
        <v>0.28</v>
      </c>
      <c r="L14" s="16" t="n">
        <v>0.28</v>
      </c>
      <c r="M14" s="16" t="n">
        <v>0.28</v>
      </c>
    </row>
    <row r="15" ht="16" customHeight="1">
      <c r="A15" s="14" t="inlineStr">
        <is>
          <t>Accounts Receivable (Days)</t>
        </is>
      </c>
      <c r="D15" s="17">
        <f>D45/D26*365</f>
        <v/>
      </c>
      <c r="E15" s="17">
        <f>E45/E26*365</f>
        <v/>
      </c>
      <c r="F15" s="17">
        <f>F45/F26*365</f>
        <v/>
      </c>
      <c r="G15" s="17">
        <f>G45/G26*365</f>
        <v/>
      </c>
      <c r="H15" s="17">
        <f>H45/H26*365</f>
        <v/>
      </c>
      <c r="I15" s="18" t="n">
        <v>18</v>
      </c>
      <c r="J15" s="18" t="n">
        <v>18</v>
      </c>
      <c r="K15" s="18" t="n">
        <v>18</v>
      </c>
      <c r="L15" s="18" t="n">
        <v>18</v>
      </c>
      <c r="M15" s="18" t="n">
        <v>18</v>
      </c>
    </row>
    <row r="16" ht="16" customHeight="1">
      <c r="A16" s="14" t="inlineStr">
        <is>
          <t>Inventory (Days)</t>
        </is>
      </c>
      <c r="D16" s="17">
        <f>D46/D27*365</f>
        <v/>
      </c>
      <c r="E16" s="17">
        <f>E46/E27*365</f>
        <v/>
      </c>
      <c r="F16" s="17">
        <f>F46/F27*365</f>
        <v/>
      </c>
      <c r="G16" s="17">
        <f>G46/G27*365</f>
        <v/>
      </c>
      <c r="H16" s="17">
        <f>H46/H27*365</f>
        <v/>
      </c>
      <c r="I16" s="18" t="n">
        <v>80</v>
      </c>
      <c r="J16" s="18" t="n">
        <v>90</v>
      </c>
      <c r="K16" s="18" t="n">
        <v>100</v>
      </c>
      <c r="L16" s="18" t="n">
        <v>100</v>
      </c>
      <c r="M16" s="18" t="n">
        <v>100</v>
      </c>
    </row>
    <row r="17" ht="16" customHeight="1">
      <c r="A17" s="14" t="inlineStr">
        <is>
          <t>Accounts Payable (Days)</t>
        </is>
      </c>
      <c r="D17" s="17">
        <f>D51/D27*365</f>
        <v/>
      </c>
      <c r="E17" s="17">
        <f>E51/E27*365</f>
        <v/>
      </c>
      <c r="F17" s="17">
        <f>F51/F27*365</f>
        <v/>
      </c>
      <c r="G17" s="17">
        <f>G51/G27*365</f>
        <v/>
      </c>
      <c r="H17" s="17">
        <f>H51/H27*365</f>
        <v/>
      </c>
      <c r="I17" s="18" t="n">
        <v>37</v>
      </c>
      <c r="J17" s="18" t="n">
        <v>37</v>
      </c>
      <c r="K17" s="18" t="n">
        <v>37</v>
      </c>
      <c r="L17" s="18" t="n">
        <v>37</v>
      </c>
      <c r="M17" s="18" t="n">
        <v>37</v>
      </c>
    </row>
    <row r="18" ht="16" customHeight="1">
      <c r="A18" s="14" t="inlineStr">
        <is>
          <t>Capital Expenditures ($000's)</t>
        </is>
      </c>
      <c r="D18" s="17">
        <f>D72</f>
        <v/>
      </c>
      <c r="E18" s="17">
        <f>E72</f>
        <v/>
      </c>
      <c r="F18" s="17">
        <f>F72</f>
        <v/>
      </c>
      <c r="G18" s="17">
        <f>G72</f>
        <v/>
      </c>
      <c r="H18" s="17">
        <f>H72</f>
        <v/>
      </c>
      <c r="I18" s="18" t="n">
        <v>15000</v>
      </c>
      <c r="J18" s="18" t="n">
        <v>15000</v>
      </c>
      <c r="K18" s="18" t="n">
        <v>15000</v>
      </c>
      <c r="L18" s="18" t="n">
        <v>15000</v>
      </c>
      <c r="M18" s="18" t="n">
        <v>15000</v>
      </c>
    </row>
    <row r="19" ht="16" customHeight="1">
      <c r="A19" s="14" t="inlineStr">
        <is>
          <t>Debt Issuance (Repayment) ($000's)</t>
        </is>
      </c>
      <c r="D19" s="17">
        <f>D76</f>
        <v/>
      </c>
      <c r="E19" s="17">
        <f>E76</f>
        <v/>
      </c>
      <c r="F19" s="17">
        <f>F76</f>
        <v/>
      </c>
      <c r="G19" s="17">
        <f>G76</f>
        <v/>
      </c>
      <c r="H19" s="17">
        <f>H76</f>
        <v/>
      </c>
      <c r="I19" s="18" t="n">
        <v>0</v>
      </c>
      <c r="J19" s="18" t="n">
        <v>0</v>
      </c>
      <c r="K19" s="18" t="n">
        <v>-20000</v>
      </c>
      <c r="L19" s="18" t="n">
        <v>0</v>
      </c>
      <c r="M19" s="18" t="n">
        <v>0</v>
      </c>
    </row>
    <row r="20" ht="16" customHeight="1">
      <c r="A20" s="14" t="inlineStr">
        <is>
          <t>Equity Issued (Repaid) ($000's)</t>
        </is>
      </c>
      <c r="D20" s="17">
        <f>D77</f>
        <v/>
      </c>
      <c r="E20" s="17">
        <f>E77</f>
        <v/>
      </c>
      <c r="F20" s="17">
        <f>F77</f>
        <v/>
      </c>
      <c r="G20" s="17">
        <f>G77</f>
        <v/>
      </c>
      <c r="H20" s="17">
        <f>H77</f>
        <v/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</row>
    <row r="21" ht="16" customHeight="1">
      <c r="A21" s="14" t="inlineStr">
        <is>
          <t>Days in Period</t>
        </is>
      </c>
      <c r="D21" s="18" t="n">
        <v>365</v>
      </c>
      <c r="E21" s="18" t="n">
        <v>365</v>
      </c>
      <c r="F21" s="18" t="n">
        <v>365</v>
      </c>
      <c r="G21" s="18" t="n">
        <v>365</v>
      </c>
      <c r="H21" s="18" t="n">
        <v>365</v>
      </c>
      <c r="I21" s="18" t="n">
        <v>365</v>
      </c>
      <c r="J21" s="18" t="n">
        <v>365</v>
      </c>
      <c r="K21" s="18" t="n">
        <v>365</v>
      </c>
      <c r="L21" s="18" t="n">
        <v>365</v>
      </c>
      <c r="M21" s="18" t="n">
        <v>365</v>
      </c>
    </row>
    <row r="22" ht="16" customHeight="1"/>
    <row r="23" ht="16" customHeight="1"/>
    <row r="24" ht="20" customHeight="1">
      <c r="A24" s="7" t="inlineStr">
        <is>
          <t>Income Statement</t>
        </is>
      </c>
    </row>
    <row r="25" ht="16" customHeight="1"/>
    <row r="26" ht="16" customHeight="1">
      <c r="A26" s="8" t="inlineStr">
        <is>
          <t>Revenue</t>
        </is>
      </c>
      <c r="D26" s="19" t="n">
        <v>102007</v>
      </c>
      <c r="E26" s="19" t="n">
        <v>118086</v>
      </c>
      <c r="F26" s="19" t="n">
        <v>131345</v>
      </c>
      <c r="G26" s="19" t="n">
        <v>142341</v>
      </c>
      <c r="H26" s="19" t="n">
        <v>150772</v>
      </c>
      <c r="I26" s="20">
        <f>H26*(1+I8)</f>
        <v/>
      </c>
      <c r="J26" s="20">
        <f>I26*(1+J8)</f>
        <v/>
      </c>
      <c r="K26" s="20">
        <f>J26*(1+K8)</f>
        <v/>
      </c>
      <c r="L26" s="20">
        <f>K26*(1+L8)</f>
        <v/>
      </c>
      <c r="M26" s="20">
        <f>L26*(1+M8)</f>
        <v/>
      </c>
    </row>
    <row r="27" ht="16" customHeight="1">
      <c r="A27" s="14" t="inlineStr">
        <is>
          <t>Cost of Goods Sold (COGS)</t>
        </is>
      </c>
      <c r="D27" s="18" t="n">
        <v>39023</v>
      </c>
      <c r="E27" s="18" t="n">
        <v>48004</v>
      </c>
      <c r="F27" s="18" t="n">
        <v>49123</v>
      </c>
      <c r="G27" s="18" t="n">
        <v>52654</v>
      </c>
      <c r="H27" s="18" t="n">
        <v>56710</v>
      </c>
      <c r="I27" s="17">
        <f>I26*I9</f>
        <v/>
      </c>
      <c r="J27" s="17">
        <f>J26*J9</f>
        <v/>
      </c>
      <c r="K27" s="17">
        <f>K26*K9</f>
        <v/>
      </c>
      <c r="L27" s="17">
        <f>L26*L9</f>
        <v/>
      </c>
      <c r="M27" s="17">
        <f>M26*M9</f>
        <v/>
      </c>
    </row>
    <row r="28" ht="16" customHeight="1">
      <c r="A28" s="21" t="inlineStr">
        <is>
          <t>Gross Profit</t>
        </is>
      </c>
      <c r="B28" s="10" t="n"/>
      <c r="C28" s="10" t="n"/>
      <c r="D28" s="22">
        <f>D26-D27</f>
        <v/>
      </c>
      <c r="E28" s="22">
        <f>E26-E27</f>
        <v/>
      </c>
      <c r="F28" s="22">
        <f>F26-F27</f>
        <v/>
      </c>
      <c r="G28" s="22">
        <f>G26-G27</f>
        <v/>
      </c>
      <c r="H28" s="22">
        <f>H26-H27</f>
        <v/>
      </c>
      <c r="I28" s="22">
        <f>I26-I27</f>
        <v/>
      </c>
      <c r="J28" s="22">
        <f>J26-J27</f>
        <v/>
      </c>
      <c r="K28" s="22">
        <f>K26-K27</f>
        <v/>
      </c>
      <c r="L28" s="22">
        <f>L26-L27</f>
        <v/>
      </c>
      <c r="M28" s="22">
        <f>M26-M27</f>
        <v/>
      </c>
    </row>
    <row r="29" ht="16" customHeight="1">
      <c r="A29" s="8" t="inlineStr">
        <is>
          <t>Expenses</t>
        </is>
      </c>
    </row>
    <row r="30" ht="16" customHeight="1">
      <c r="A30" s="14" t="inlineStr">
        <is>
          <t>Salaries and Benefits</t>
        </is>
      </c>
      <c r="D30" s="18" t="n">
        <v>26427</v>
      </c>
      <c r="E30" s="18" t="n">
        <v>22658</v>
      </c>
      <c r="F30" s="18" t="n">
        <v>23872</v>
      </c>
      <c r="G30" s="18" t="n">
        <v>23002</v>
      </c>
      <c r="H30" s="18" t="n">
        <v>25245</v>
      </c>
      <c r="I30" s="17">
        <f>I10*I26</f>
        <v/>
      </c>
      <c r="J30" s="17">
        <f>J10*J26</f>
        <v/>
      </c>
      <c r="K30" s="17">
        <f>K10*K26</f>
        <v/>
      </c>
      <c r="L30" s="17">
        <f>L10*L26</f>
        <v/>
      </c>
      <c r="M30" s="17">
        <f>M10*M26</f>
        <v/>
      </c>
    </row>
    <row r="31" ht="16" customHeight="1">
      <c r="A31" s="14" t="inlineStr">
        <is>
          <t>Rent and Overhead</t>
        </is>
      </c>
      <c r="D31" s="18" t="n">
        <v>10963</v>
      </c>
      <c r="E31" s="18" t="n">
        <v>10125</v>
      </c>
      <c r="F31" s="18" t="n">
        <v>10087</v>
      </c>
      <c r="G31" s="18" t="n">
        <v>11020</v>
      </c>
      <c r="H31" s="18" t="n">
        <v>11412</v>
      </c>
      <c r="I31" s="17">
        <f>I11</f>
        <v/>
      </c>
      <c r="J31" s="17">
        <f>J11</f>
        <v/>
      </c>
      <c r="K31" s="17">
        <f>K11</f>
        <v/>
      </c>
      <c r="L31" s="17">
        <f>L11</f>
        <v/>
      </c>
      <c r="M31" s="17">
        <f>M11</f>
        <v/>
      </c>
    </row>
    <row r="32" ht="16" customHeight="1">
      <c r="A32" s="14" t="inlineStr">
        <is>
          <t>Depreciation &amp; Amortization</t>
        </is>
      </c>
      <c r="D32" s="18" t="n">
        <v>19500</v>
      </c>
      <c r="E32" s="18" t="n">
        <v>18150</v>
      </c>
      <c r="F32" s="18" t="n">
        <v>17205</v>
      </c>
      <c r="G32" s="18" t="n">
        <v>16544</v>
      </c>
      <c r="H32" s="18" t="n">
        <v>16080</v>
      </c>
      <c r="I32" s="17">
        <f>I67</f>
        <v/>
      </c>
      <c r="J32" s="17">
        <f>J67</f>
        <v/>
      </c>
      <c r="K32" s="17">
        <f>K67</f>
        <v/>
      </c>
      <c r="L32" s="17">
        <f>L67</f>
        <v/>
      </c>
      <c r="M32" s="17">
        <f>M67</f>
        <v/>
      </c>
    </row>
    <row r="33" ht="16" customHeight="1">
      <c r="A33" s="23" t="inlineStr">
        <is>
          <t>Interest</t>
        </is>
      </c>
      <c r="B33" s="24" t="n"/>
      <c r="C33" s="24" t="n"/>
      <c r="D33" s="25" t="n">
        <v>2500</v>
      </c>
      <c r="E33" s="25" t="n">
        <v>2500</v>
      </c>
      <c r="F33" s="25" t="n">
        <v>1500</v>
      </c>
      <c r="G33" s="25" t="n">
        <v>1500</v>
      </c>
      <c r="H33" s="25" t="n">
        <v>1500</v>
      </c>
      <c r="I33" s="26">
        <f>I105</f>
        <v/>
      </c>
      <c r="J33" s="26">
        <f>J105</f>
        <v/>
      </c>
      <c r="K33" s="26">
        <f>K105</f>
        <v/>
      </c>
      <c r="L33" s="26">
        <f>L105</f>
        <v/>
      </c>
      <c r="M33" s="26">
        <f>M105</f>
        <v/>
      </c>
    </row>
    <row r="34" ht="16" customHeight="1">
      <c r="A34" s="8" t="inlineStr">
        <is>
          <t>Total Expenses</t>
        </is>
      </c>
      <c r="D34" s="20">
        <f>SUM(D30:D33)</f>
        <v/>
      </c>
      <c r="E34" s="20">
        <f>SUM(E30:E33)</f>
        <v/>
      </c>
      <c r="F34" s="20">
        <f>SUM(F30:F33)</f>
        <v/>
      </c>
      <c r="G34" s="20">
        <f>SUM(G30:G33)</f>
        <v/>
      </c>
      <c r="H34" s="20">
        <f>SUM(H30:H33)</f>
        <v/>
      </c>
      <c r="I34" s="20">
        <f>SUM(I30:I33)</f>
        <v/>
      </c>
      <c r="J34" s="20">
        <f>SUM(J30:J33)</f>
        <v/>
      </c>
      <c r="K34" s="20">
        <f>SUM(K30:K33)</f>
        <v/>
      </c>
      <c r="L34" s="20">
        <f>SUM(L30:L33)</f>
        <v/>
      </c>
      <c r="M34" s="20">
        <f>SUM(M30:M33)</f>
        <v/>
      </c>
    </row>
    <row r="35" ht="16" customHeight="1">
      <c r="A35" s="21" t="inlineStr">
        <is>
          <t>Earnings Before Tax</t>
        </is>
      </c>
      <c r="B35" s="10" t="n"/>
      <c r="C35" s="10" t="n"/>
      <c r="D35" s="22">
        <f>D28-D34</f>
        <v/>
      </c>
      <c r="E35" s="22">
        <f>E28-E34</f>
        <v/>
      </c>
      <c r="F35" s="22">
        <f>F28-F34</f>
        <v/>
      </c>
      <c r="G35" s="22">
        <f>G28-G34</f>
        <v/>
      </c>
      <c r="H35" s="22">
        <f>H28-H34</f>
        <v/>
      </c>
      <c r="I35" s="22">
        <f>I28-I34</f>
        <v/>
      </c>
      <c r="J35" s="22">
        <f>J28-J34</f>
        <v/>
      </c>
      <c r="K35" s="22">
        <f>K28-K34</f>
        <v/>
      </c>
      <c r="L35" s="22">
        <f>L28-L34</f>
        <v/>
      </c>
      <c r="M35" s="22">
        <f>M28-M34</f>
        <v/>
      </c>
    </row>
    <row r="36" ht="16" customHeight="1"/>
    <row r="37" ht="16" customHeight="1">
      <c r="A37" s="14" t="inlineStr">
        <is>
          <t>Taxes</t>
        </is>
      </c>
      <c r="D37" s="18" t="n">
        <v>1120</v>
      </c>
      <c r="E37" s="18" t="n">
        <v>4858</v>
      </c>
      <c r="F37" s="18" t="n">
        <v>8483</v>
      </c>
      <c r="G37" s="18" t="n">
        <v>10908</v>
      </c>
      <c r="H37" s="18" t="n">
        <v>11598</v>
      </c>
      <c r="I37" s="17">
        <f>I35*I14</f>
        <v/>
      </c>
      <c r="J37" s="17">
        <f>J35*J14</f>
        <v/>
      </c>
      <c r="K37" s="17">
        <f>K35*K14</f>
        <v/>
      </c>
      <c r="L37" s="17">
        <f>L35*L14</f>
        <v/>
      </c>
      <c r="M37" s="17">
        <f>M35*M14</f>
        <v/>
      </c>
    </row>
    <row r="38" ht="16" customHeight="1">
      <c r="A38" s="27" t="inlineStr">
        <is>
          <t>Net Earnings</t>
        </is>
      </c>
      <c r="B38" s="28" t="n"/>
      <c r="C38" s="28" t="n"/>
      <c r="D38" s="29">
        <f>D35-D37</f>
        <v/>
      </c>
      <c r="E38" s="29">
        <f>E35-E37</f>
        <v/>
      </c>
      <c r="F38" s="29">
        <f>F35-F37</f>
        <v/>
      </c>
      <c r="G38" s="29">
        <f>G35-G37</f>
        <v/>
      </c>
      <c r="H38" s="29">
        <f>H35-H37</f>
        <v/>
      </c>
      <c r="I38" s="29">
        <f>I35-I37</f>
        <v/>
      </c>
      <c r="J38" s="29">
        <f>J35-J37</f>
        <v/>
      </c>
      <c r="K38" s="29">
        <f>K35-K37</f>
        <v/>
      </c>
      <c r="L38" s="29">
        <f>L35-L37</f>
        <v/>
      </c>
      <c r="M38" s="29">
        <f>M35-M37</f>
        <v/>
      </c>
    </row>
    <row r="39" ht="16" customHeight="1"/>
    <row r="40" ht="16" customHeight="1"/>
    <row r="41" ht="20" customHeight="1">
      <c r="A41" s="7" t="inlineStr">
        <is>
          <t>Balance Sheet</t>
        </is>
      </c>
    </row>
    <row r="42" ht="16" customHeight="1"/>
    <row r="43" ht="16" customHeight="1">
      <c r="A43" s="8" t="inlineStr">
        <is>
          <t>Assets</t>
        </is>
      </c>
    </row>
    <row r="44" ht="16" customHeight="1">
      <c r="A44" s="14" t="inlineStr">
        <is>
          <t>Cash</t>
        </is>
      </c>
      <c r="D44" s="18" t="n">
        <v>67971</v>
      </c>
      <c r="E44" s="18" t="n">
        <v>81210</v>
      </c>
      <c r="F44" s="18" t="n">
        <v>83715</v>
      </c>
      <c r="G44" s="18" t="n">
        <v>111070</v>
      </c>
      <c r="H44" s="18" t="n">
        <v>139549</v>
      </c>
      <c r="I44" s="17">
        <f>I82</f>
        <v/>
      </c>
      <c r="J44" s="17">
        <f>J82</f>
        <v/>
      </c>
      <c r="K44" s="17">
        <f>K82</f>
        <v/>
      </c>
      <c r="L44" s="17">
        <f>L82</f>
        <v/>
      </c>
      <c r="M44" s="17">
        <f>M82</f>
        <v/>
      </c>
    </row>
    <row r="45" ht="16" customHeight="1">
      <c r="A45" s="14" t="inlineStr">
        <is>
          <t>Accounts Receivable</t>
        </is>
      </c>
      <c r="D45" s="18" t="n">
        <v>5100</v>
      </c>
      <c r="E45" s="18" t="n">
        <v>5904</v>
      </c>
      <c r="F45" s="18" t="n">
        <v>6567</v>
      </c>
      <c r="G45" s="18" t="n">
        <v>7117</v>
      </c>
      <c r="H45" s="18" t="n">
        <v>7538</v>
      </c>
      <c r="I45" s="17">
        <f>I26*I15/I21</f>
        <v/>
      </c>
      <c r="J45" s="17">
        <f>J26*J15/J21</f>
        <v/>
      </c>
      <c r="K45" s="17">
        <f>K26*K15/K21</f>
        <v/>
      </c>
      <c r="L45" s="17">
        <f>L26*L15/L21</f>
        <v/>
      </c>
      <c r="M45" s="17">
        <f>M26*M15/M21</f>
        <v/>
      </c>
    </row>
    <row r="46" ht="16" customHeight="1">
      <c r="A46" s="14" t="inlineStr">
        <is>
          <t>Inventory</t>
        </is>
      </c>
      <c r="D46" s="18" t="n">
        <v>7805</v>
      </c>
      <c r="E46" s="18" t="n">
        <v>9601</v>
      </c>
      <c r="F46" s="18" t="n">
        <v>9825</v>
      </c>
      <c r="G46" s="18" t="n">
        <v>10531</v>
      </c>
      <c r="H46" s="18" t="n">
        <v>11342</v>
      </c>
      <c r="I46" s="17">
        <f>I27*I16/I21</f>
        <v/>
      </c>
      <c r="J46" s="17">
        <f>J27*J16/J21</f>
        <v/>
      </c>
      <c r="K46" s="17">
        <f>K27*K16/K21</f>
        <v/>
      </c>
      <c r="L46" s="17">
        <f>L27*L16/L21</f>
        <v/>
      </c>
      <c r="M46" s="17">
        <f>M27*M16/M21</f>
        <v/>
      </c>
    </row>
    <row r="47" ht="16" customHeight="1">
      <c r="A47" s="14" t="inlineStr">
        <is>
          <t>Property &amp; Equipment</t>
        </is>
      </c>
      <c r="D47" s="18" t="n">
        <v>45500</v>
      </c>
      <c r="E47" s="18" t="n">
        <v>42350</v>
      </c>
      <c r="F47" s="18" t="n">
        <v>40145</v>
      </c>
      <c r="G47" s="18" t="n">
        <v>38601</v>
      </c>
      <c r="H47" s="18" t="n">
        <v>37521</v>
      </c>
      <c r="I47" s="17">
        <f>I99</f>
        <v/>
      </c>
      <c r="J47" s="17">
        <f>J99</f>
        <v/>
      </c>
      <c r="K47" s="17">
        <f>K99</f>
        <v/>
      </c>
      <c r="L47" s="17">
        <f>L99</f>
        <v/>
      </c>
      <c r="M47" s="17">
        <f>M99</f>
        <v/>
      </c>
    </row>
    <row r="48" ht="16" customHeight="1">
      <c r="A48" s="27" t="inlineStr">
        <is>
          <t>Total Assets</t>
        </is>
      </c>
      <c r="B48" s="28" t="n"/>
      <c r="C48" s="28" t="n"/>
      <c r="D48" s="29">
        <f>SUM(D44:D47)</f>
        <v/>
      </c>
      <c r="E48" s="29">
        <f>SUM(E44:E47)</f>
        <v/>
      </c>
      <c r="F48" s="29">
        <f>SUM(F44:F47)</f>
        <v/>
      </c>
      <c r="G48" s="29">
        <f>SUM(G44:G47)</f>
        <v/>
      </c>
      <c r="H48" s="29">
        <f>SUM(H44:H47)</f>
        <v/>
      </c>
      <c r="I48" s="29">
        <f>SUM(I44:I47)</f>
        <v/>
      </c>
      <c r="J48" s="29">
        <f>SUM(J44:J47)</f>
        <v/>
      </c>
      <c r="K48" s="29">
        <f>SUM(K44:K47)</f>
        <v/>
      </c>
      <c r="L48" s="29">
        <f>SUM(L44:L47)</f>
        <v/>
      </c>
      <c r="M48" s="29">
        <f>SUM(M44:M47)</f>
        <v/>
      </c>
    </row>
    <row r="49" ht="16" customHeight="1"/>
    <row r="50" ht="16" customHeight="1">
      <c r="A50" s="8" t="inlineStr">
        <is>
          <t>Liabilities</t>
        </is>
      </c>
    </row>
    <row r="51" ht="16" customHeight="1">
      <c r="A51" s="14" t="inlineStr">
        <is>
          <t>Accounts Payable</t>
        </is>
      </c>
      <c r="D51" s="18" t="n">
        <v>3902</v>
      </c>
      <c r="E51" s="18" t="n">
        <v>4800</v>
      </c>
      <c r="F51" s="18" t="n">
        <v>4912</v>
      </c>
      <c r="G51" s="18" t="n">
        <v>5266</v>
      </c>
      <c r="H51" s="18" t="n">
        <v>5670</v>
      </c>
      <c r="I51" s="17">
        <f>I27*I17/I21</f>
        <v/>
      </c>
      <c r="J51" s="17">
        <f>J27*J17/J21</f>
        <v/>
      </c>
      <c r="K51" s="17">
        <f>K27*K17/K21</f>
        <v/>
      </c>
      <c r="L51" s="17">
        <f>L27*L17/L21</f>
        <v/>
      </c>
      <c r="M51" s="17">
        <f>M27*M17/M21</f>
        <v/>
      </c>
    </row>
    <row r="52" ht="16" customHeight="1">
      <c r="A52" s="14" t="inlineStr">
        <is>
          <t>Debt</t>
        </is>
      </c>
      <c r="D52" s="18" t="n">
        <v>50000</v>
      </c>
      <c r="E52" s="18" t="n">
        <v>50000</v>
      </c>
      <c r="F52" s="18" t="n">
        <v>30000</v>
      </c>
      <c r="G52" s="18" t="n">
        <v>30000</v>
      </c>
      <c r="H52" s="18" t="n">
        <v>30000</v>
      </c>
      <c r="I52" s="17">
        <f>I104</f>
        <v/>
      </c>
      <c r="J52" s="17">
        <f>J104</f>
        <v/>
      </c>
      <c r="K52" s="17">
        <f>K104</f>
        <v/>
      </c>
      <c r="L52" s="17">
        <f>L104</f>
        <v/>
      </c>
      <c r="M52" s="17">
        <f>M104</f>
        <v/>
      </c>
    </row>
    <row r="53" ht="16" customHeight="1">
      <c r="A53" s="21" t="inlineStr">
        <is>
          <t>Total Liabilities</t>
        </is>
      </c>
      <c r="B53" s="10" t="n"/>
      <c r="C53" s="10" t="n"/>
      <c r="D53" s="22">
        <f>SUM(D51:D52)</f>
        <v/>
      </c>
      <c r="E53" s="22">
        <f>SUM(E51:E52)</f>
        <v/>
      </c>
      <c r="F53" s="22">
        <f>SUM(F51:F52)</f>
        <v/>
      </c>
      <c r="G53" s="22">
        <f>SUM(G51:G52)</f>
        <v/>
      </c>
      <c r="H53" s="22">
        <f>SUM(H51:H52)</f>
        <v/>
      </c>
      <c r="I53" s="22">
        <f>SUM(I51:I52)</f>
        <v/>
      </c>
      <c r="J53" s="22">
        <f>SUM(J51:J52)</f>
        <v/>
      </c>
      <c r="K53" s="22">
        <f>SUM(K51:K52)</f>
        <v/>
      </c>
      <c r="L53" s="22">
        <f>SUM(L51:L52)</f>
        <v/>
      </c>
      <c r="M53" s="22">
        <f>SUM(M51:M52)</f>
        <v/>
      </c>
    </row>
    <row r="54" ht="16" customHeight="1">
      <c r="A54" s="8" t="inlineStr">
        <is>
          <t>Shareholder's Equity</t>
        </is>
      </c>
    </row>
    <row r="55" ht="16" customHeight="1">
      <c r="A55" s="14" t="inlineStr">
        <is>
          <t>Equity Capital</t>
        </is>
      </c>
      <c r="D55" s="18" t="n">
        <v>70000</v>
      </c>
      <c r="E55" s="18" t="n">
        <v>70000</v>
      </c>
      <c r="F55" s="18" t="n">
        <v>70000</v>
      </c>
      <c r="G55" s="18" t="n">
        <v>70000</v>
      </c>
      <c r="H55" s="18" t="n">
        <v>70000</v>
      </c>
      <c r="I55" s="17">
        <f>H55+I77</f>
        <v/>
      </c>
      <c r="J55" s="17">
        <f>I55+J77</f>
        <v/>
      </c>
      <c r="K55" s="17">
        <f>J55+K77</f>
        <v/>
      </c>
      <c r="L55" s="17">
        <f>K55+L77</f>
        <v/>
      </c>
      <c r="M55" s="17">
        <f>L55+M77</f>
        <v/>
      </c>
    </row>
    <row r="56" ht="16" customHeight="1">
      <c r="A56" s="14" t="inlineStr">
        <is>
          <t>Retained Earnings</t>
        </is>
      </c>
      <c r="D56" s="18" t="n">
        <v>2474</v>
      </c>
      <c r="E56" s="18" t="n">
        <v>14265</v>
      </c>
      <c r="F56" s="18" t="n">
        <v>35340</v>
      </c>
      <c r="G56" s="18" t="n">
        <v>62053</v>
      </c>
      <c r="H56" s="18" t="n">
        <v>90280</v>
      </c>
      <c r="I56" s="17">
        <f>H56+I38</f>
        <v/>
      </c>
      <c r="J56" s="17">
        <f>I56+J38</f>
        <v/>
      </c>
      <c r="K56" s="17">
        <f>J56+K38</f>
        <v/>
      </c>
      <c r="L56" s="17">
        <f>K56+L38</f>
        <v/>
      </c>
      <c r="M56" s="17">
        <f>L56+M38</f>
        <v/>
      </c>
    </row>
    <row r="57" ht="16" customHeight="1">
      <c r="A57" s="30" t="inlineStr">
        <is>
          <t>Shareholder's Equity</t>
        </is>
      </c>
      <c r="B57" s="31" t="n"/>
      <c r="C57" s="31" t="n"/>
      <c r="D57" s="32">
        <f>SUM(D55:D56)</f>
        <v/>
      </c>
      <c r="E57" s="32">
        <f>SUM(E55:E56)</f>
        <v/>
      </c>
      <c r="F57" s="32">
        <f>SUM(F55:F56)</f>
        <v/>
      </c>
      <c r="G57" s="32">
        <f>SUM(G55:G56)</f>
        <v/>
      </c>
      <c r="H57" s="32">
        <f>SUM(H55:H56)</f>
        <v/>
      </c>
      <c r="I57" s="32">
        <f>SUM(I55:I56)</f>
        <v/>
      </c>
      <c r="J57" s="32">
        <f>SUM(J55:J56)</f>
        <v/>
      </c>
      <c r="K57" s="32">
        <f>SUM(K55:K56)</f>
        <v/>
      </c>
      <c r="L57" s="32">
        <f>SUM(L55:L56)</f>
        <v/>
      </c>
      <c r="M57" s="32">
        <f>SUM(M55:M56)</f>
        <v/>
      </c>
    </row>
    <row r="58" ht="16" customHeight="1">
      <c r="A58" s="27" t="inlineStr">
        <is>
          <t>Total Liabilities &amp; Shareholder's Equity</t>
        </is>
      </c>
      <c r="B58" s="28" t="n"/>
      <c r="C58" s="28" t="n"/>
      <c r="D58" s="29">
        <f>D53+D57</f>
        <v/>
      </c>
      <c r="E58" s="29">
        <f>E53+E57</f>
        <v/>
      </c>
      <c r="F58" s="29">
        <f>F53+F57</f>
        <v/>
      </c>
      <c r="G58" s="29">
        <f>G53+G57</f>
        <v/>
      </c>
      <c r="H58" s="29">
        <f>H53+H57</f>
        <v/>
      </c>
      <c r="I58" s="29">
        <f>I53+I57</f>
        <v/>
      </c>
      <c r="J58" s="29">
        <f>J53+J57</f>
        <v/>
      </c>
      <c r="K58" s="29">
        <f>K53+K57</f>
        <v/>
      </c>
      <c r="L58" s="29">
        <f>L53+L57</f>
        <v/>
      </c>
      <c r="M58" s="29">
        <f>M53+M57</f>
        <v/>
      </c>
    </row>
    <row r="59" ht="16" customHeight="1"/>
    <row r="60" ht="16" customHeight="1">
      <c r="A60" s="14" t="inlineStr">
        <is>
          <t>Check</t>
        </is>
      </c>
      <c r="D60" s="33">
        <f>D58-D48</f>
        <v/>
      </c>
      <c r="E60" s="33">
        <f>E58-E48</f>
        <v/>
      </c>
      <c r="F60" s="33">
        <f>F58-F48</f>
        <v/>
      </c>
      <c r="G60" s="33">
        <f>G58-G48</f>
        <v/>
      </c>
      <c r="H60" s="33">
        <f>H58-H48</f>
        <v/>
      </c>
      <c r="I60" s="33">
        <f>I58-I48</f>
        <v/>
      </c>
      <c r="J60" s="33">
        <f>J58-J48</f>
        <v/>
      </c>
      <c r="K60" s="33">
        <f>K58-K48</f>
        <v/>
      </c>
      <c r="L60" s="33">
        <f>L58-L48</f>
        <v/>
      </c>
      <c r="M60" s="33">
        <f>M58-M48</f>
        <v/>
      </c>
    </row>
    <row r="61" ht="16" customHeight="1"/>
    <row r="62" ht="16" customHeight="1"/>
    <row r="63" ht="20" customHeight="1">
      <c r="A63" s="7" t="inlineStr">
        <is>
          <t>Cash Flow Statement</t>
        </is>
      </c>
    </row>
    <row r="64" ht="16" customHeight="1"/>
    <row r="65" ht="16" customHeight="1">
      <c r="A65" s="8" t="inlineStr">
        <is>
          <t>Operating Cash Flow</t>
        </is>
      </c>
    </row>
    <row r="66" ht="16" customHeight="1">
      <c r="A66" s="14" t="inlineStr">
        <is>
          <t>Net Earnings</t>
        </is>
      </c>
      <c r="D66" s="18" t="n">
        <v>2474</v>
      </c>
      <c r="E66" s="18" t="n">
        <v>11791</v>
      </c>
      <c r="F66" s="18" t="n">
        <v>21075</v>
      </c>
      <c r="G66" s="18" t="n">
        <v>26713</v>
      </c>
      <c r="H66" s="18" t="n">
        <v>28227</v>
      </c>
      <c r="I66" s="17">
        <f>I38</f>
        <v/>
      </c>
      <c r="J66" s="17">
        <f>J38</f>
        <v/>
      </c>
      <c r="K66" s="17">
        <f>K38</f>
        <v/>
      </c>
      <c r="L66" s="17">
        <f>L38</f>
        <v/>
      </c>
      <c r="M66" s="17">
        <f>M38</f>
        <v/>
      </c>
    </row>
    <row r="67" ht="16" customHeight="1">
      <c r="A67" s="14" t="inlineStr">
        <is>
          <t>Plus: Depreciation &amp; Amortization</t>
        </is>
      </c>
      <c r="D67" s="18" t="n">
        <v>19500</v>
      </c>
      <c r="E67" s="18" t="n">
        <v>18150</v>
      </c>
      <c r="F67" s="18" t="n">
        <v>17205</v>
      </c>
      <c r="G67" s="18" t="n">
        <v>16544</v>
      </c>
      <c r="H67" s="18" t="n">
        <v>16080</v>
      </c>
      <c r="I67" s="17">
        <f>I98</f>
        <v/>
      </c>
      <c r="J67" s="17">
        <f>J98</f>
        <v/>
      </c>
      <c r="K67" s="17">
        <f>K98</f>
        <v/>
      </c>
      <c r="L67" s="17">
        <f>L98</f>
        <v/>
      </c>
      <c r="M67" s="17">
        <f>M98</f>
        <v/>
      </c>
    </row>
    <row r="68" ht="16" customHeight="1">
      <c r="A68" s="14" t="inlineStr">
        <is>
          <t>Less: Changes in Working Capital</t>
        </is>
      </c>
      <c r="D68" s="18" t="n">
        <v>9003</v>
      </c>
      <c r="E68" s="18" t="n">
        <v>1702</v>
      </c>
      <c r="F68" s="18" t="n">
        <v>775</v>
      </c>
      <c r="G68" s="18" t="n">
        <v>902</v>
      </c>
      <c r="H68" s="18" t="n">
        <v>828</v>
      </c>
      <c r="I68" s="17">
        <f>I93</f>
        <v/>
      </c>
      <c r="J68" s="17">
        <f>J93</f>
        <v/>
      </c>
      <c r="K68" s="17">
        <f>K93</f>
        <v/>
      </c>
      <c r="L68" s="17">
        <f>L93</f>
        <v/>
      </c>
      <c r="M68" s="17">
        <f>M93</f>
        <v/>
      </c>
    </row>
    <row r="69" ht="16" customHeight="1">
      <c r="A69" s="8" t="inlineStr">
        <is>
          <t>Cash from Operations</t>
        </is>
      </c>
      <c r="D69" s="20">
        <f>D66+D67-D68</f>
        <v/>
      </c>
      <c r="E69" s="20">
        <f>E66+E67-E68</f>
        <v/>
      </c>
      <c r="F69" s="20">
        <f>F66+F67-F68</f>
        <v/>
      </c>
      <c r="G69" s="20">
        <f>G66+G67-G68</f>
        <v/>
      </c>
      <c r="H69" s="20">
        <f>H66+H67-H68</f>
        <v/>
      </c>
      <c r="I69" s="20">
        <f>I66+I67-I68</f>
        <v/>
      </c>
      <c r="J69" s="20">
        <f>J66+J67-J68</f>
        <v/>
      </c>
      <c r="K69" s="20">
        <f>K66+K67-K68</f>
        <v/>
      </c>
      <c r="L69" s="20">
        <f>L66+L67-L68</f>
        <v/>
      </c>
      <c r="M69" s="20">
        <f>M66+M67-M68</f>
        <v/>
      </c>
    </row>
    <row r="70" ht="16" customHeight="1"/>
    <row r="71" ht="16" customHeight="1">
      <c r="A71" s="8" t="inlineStr">
        <is>
          <t>Investing Cash Flow</t>
        </is>
      </c>
    </row>
    <row r="72" ht="16" customHeight="1">
      <c r="A72" s="14" t="inlineStr">
        <is>
          <t>Investments in Property &amp; Equipment</t>
        </is>
      </c>
      <c r="D72" s="18" t="n">
        <v>15000</v>
      </c>
      <c r="E72" s="18" t="n">
        <v>15000</v>
      </c>
      <c r="F72" s="18" t="n">
        <v>15000</v>
      </c>
      <c r="G72" s="18" t="n">
        <v>15000</v>
      </c>
      <c r="H72" s="18" t="n">
        <v>15000</v>
      </c>
      <c r="I72" s="17">
        <f>I97</f>
        <v/>
      </c>
      <c r="J72" s="17">
        <f>J97</f>
        <v/>
      </c>
      <c r="K72" s="17">
        <f>K97</f>
        <v/>
      </c>
      <c r="L72" s="17">
        <f>L97</f>
        <v/>
      </c>
      <c r="M72" s="17">
        <f>M97</f>
        <v/>
      </c>
    </row>
    <row r="73" ht="16" customHeight="1">
      <c r="A73" s="8" t="inlineStr">
        <is>
          <t>Cash from Investing</t>
        </is>
      </c>
      <c r="D73" s="20">
        <f>SUM(D72)</f>
        <v/>
      </c>
      <c r="E73" s="20">
        <f>SUM(E72)</f>
        <v/>
      </c>
      <c r="F73" s="20">
        <f>SUM(F72)</f>
        <v/>
      </c>
      <c r="G73" s="20">
        <f>SUM(G72)</f>
        <v/>
      </c>
      <c r="H73" s="20">
        <f>SUM(H72)</f>
        <v/>
      </c>
      <c r="I73" s="20">
        <f>SUM(I72)</f>
        <v/>
      </c>
      <c r="J73" s="20">
        <f>SUM(J72)</f>
        <v/>
      </c>
      <c r="K73" s="20">
        <f>SUM(K72)</f>
        <v/>
      </c>
      <c r="L73" s="20">
        <f>SUM(L72)</f>
        <v/>
      </c>
      <c r="M73" s="20">
        <f>SUM(M72)</f>
        <v/>
      </c>
    </row>
    <row r="74" ht="16" customHeight="1"/>
    <row r="75" ht="16" customHeight="1">
      <c r="A75" s="8" t="inlineStr">
        <is>
          <t>Financing Cash Flow</t>
        </is>
      </c>
    </row>
    <row r="76" ht="16" customHeight="1">
      <c r="A76" s="14" t="inlineStr">
        <is>
          <t>Issuance (repayment) of debt</t>
        </is>
      </c>
      <c r="D76" s="18" t="n">
        <v>0</v>
      </c>
      <c r="E76" s="18" t="n">
        <v>0</v>
      </c>
      <c r="F76" s="18" t="n">
        <v>-20000</v>
      </c>
      <c r="G76" s="18" t="n">
        <v>0</v>
      </c>
      <c r="H76" s="18" t="n">
        <v>0</v>
      </c>
      <c r="I76" s="17">
        <f>I103</f>
        <v/>
      </c>
      <c r="J76" s="17">
        <f>J103</f>
        <v/>
      </c>
      <c r="K76" s="17">
        <f>K103</f>
        <v/>
      </c>
      <c r="L76" s="17">
        <f>L103</f>
        <v/>
      </c>
      <c r="M76" s="17">
        <f>M103</f>
        <v/>
      </c>
    </row>
    <row r="77" ht="16" customHeight="1">
      <c r="A77" s="14" t="inlineStr">
        <is>
          <t>Issuance (repayment) of equity</t>
        </is>
      </c>
      <c r="D77" s="18" t="n">
        <v>70000</v>
      </c>
      <c r="E77" s="18" t="n">
        <v>0</v>
      </c>
      <c r="F77" s="18" t="n">
        <v>0</v>
      </c>
      <c r="G77" s="18" t="n">
        <v>0</v>
      </c>
      <c r="H77" s="18" t="n">
        <v>0</v>
      </c>
      <c r="I77" s="17">
        <f>I20</f>
        <v/>
      </c>
      <c r="J77" s="17">
        <f>J20</f>
        <v/>
      </c>
      <c r="K77" s="17">
        <f>K20</f>
        <v/>
      </c>
      <c r="L77" s="17">
        <f>L20</f>
        <v/>
      </c>
      <c r="M77" s="17">
        <f>M20</f>
        <v/>
      </c>
    </row>
    <row r="78" ht="16" customHeight="1">
      <c r="A78" s="8" t="inlineStr">
        <is>
          <t>Cash from Financing</t>
        </is>
      </c>
      <c r="D78" s="20">
        <f>SUM(D76:D77)</f>
        <v/>
      </c>
      <c r="E78" s="20">
        <f>SUM(E76:E77)</f>
        <v/>
      </c>
      <c r="F78" s="20">
        <f>SUM(F76:F77)</f>
        <v/>
      </c>
      <c r="G78" s="20">
        <f>SUM(G76:G77)</f>
        <v/>
      </c>
      <c r="H78" s="20">
        <f>SUM(H76:H77)</f>
        <v/>
      </c>
      <c r="I78" s="20">
        <f>SUM(I76:I77)</f>
        <v/>
      </c>
      <c r="J78" s="20">
        <f>SUM(J76:J77)</f>
        <v/>
      </c>
      <c r="K78" s="20">
        <f>SUM(K76:K77)</f>
        <v/>
      </c>
      <c r="L78" s="20">
        <f>SUM(L76:L77)</f>
        <v/>
      </c>
      <c r="M78" s="20">
        <f>SUM(M76:M77)</f>
        <v/>
      </c>
    </row>
    <row r="79" ht="16" customHeight="1"/>
    <row r="80" ht="16" customHeight="1">
      <c r="A80" s="8" t="inlineStr">
        <is>
          <t>Net Increase (decrease) in Cash</t>
        </is>
      </c>
      <c r="D80" s="20">
        <f>D69-D73+D78</f>
        <v/>
      </c>
      <c r="E80" s="20">
        <f>E69-E73+E78</f>
        <v/>
      </c>
      <c r="F80" s="20">
        <f>F69-F73+F78</f>
        <v/>
      </c>
      <c r="G80" s="20">
        <f>G69-G73+G78</f>
        <v/>
      </c>
      <c r="H80" s="20">
        <f>H69-H73+H78</f>
        <v/>
      </c>
      <c r="I80" s="20">
        <f>I69-I73+I78</f>
        <v/>
      </c>
      <c r="J80" s="20">
        <f>J69-J73+J78</f>
        <v/>
      </c>
      <c r="K80" s="20">
        <f>K69-K73+K78</f>
        <v/>
      </c>
      <c r="L80" s="20">
        <f>L69-L73+L78</f>
        <v/>
      </c>
      <c r="M80" s="20">
        <f>M69-M73+M78</f>
        <v/>
      </c>
    </row>
    <row r="81" ht="16" customHeight="1">
      <c r="A81" s="14" t="inlineStr">
        <is>
          <t>Opening Cash Balance</t>
        </is>
      </c>
      <c r="D81" s="18" t="n">
        <v>0</v>
      </c>
      <c r="E81" s="17">
        <f>D82</f>
        <v/>
      </c>
      <c r="F81" s="17">
        <f>E82</f>
        <v/>
      </c>
      <c r="G81" s="17">
        <f>F82</f>
        <v/>
      </c>
      <c r="H81" s="17">
        <f>G82</f>
        <v/>
      </c>
      <c r="I81" s="17">
        <f>H82</f>
        <v/>
      </c>
      <c r="J81" s="17">
        <f>I82</f>
        <v/>
      </c>
      <c r="K81" s="17">
        <f>J82</f>
        <v/>
      </c>
      <c r="L81" s="17">
        <f>K82</f>
        <v/>
      </c>
      <c r="M81" s="17">
        <f>L82</f>
        <v/>
      </c>
    </row>
    <row r="82" ht="16" customHeight="1">
      <c r="A82" s="8" t="inlineStr">
        <is>
          <t>Closing Cash Balance</t>
        </is>
      </c>
      <c r="D82" s="20">
        <f>SUM(D80:D81)</f>
        <v/>
      </c>
      <c r="E82" s="20">
        <f>SUM(E80:E81)</f>
        <v/>
      </c>
      <c r="F82" s="20">
        <f>SUM(F80:F81)</f>
        <v/>
      </c>
      <c r="G82" s="20">
        <f>SUM(G80:G81)</f>
        <v/>
      </c>
      <c r="H82" s="20">
        <f>SUM(H80:H81)</f>
        <v/>
      </c>
      <c r="I82" s="20">
        <f>SUM(I80:I81)</f>
        <v/>
      </c>
      <c r="J82" s="20">
        <f>SUM(J80:J81)</f>
        <v/>
      </c>
      <c r="K82" s="20">
        <f>SUM(K80:K81)</f>
        <v/>
      </c>
      <c r="L82" s="20">
        <f>SUM(L80:L81)</f>
        <v/>
      </c>
      <c r="M82" s="20">
        <f>SUM(M80:M81)</f>
        <v/>
      </c>
    </row>
    <row r="83" ht="16" customHeight="1"/>
    <row r="84" ht="16" customHeight="1"/>
    <row r="85" ht="16" customHeight="1"/>
    <row r="86" ht="20" customHeight="1">
      <c r="A86" s="7" t="inlineStr">
        <is>
          <t>Supporting Schedules</t>
        </is>
      </c>
    </row>
    <row r="87" ht="16" customHeight="1"/>
    <row r="88" ht="16" customHeight="1">
      <c r="A88" s="8" t="inlineStr">
        <is>
          <t>Working Capital Schedule</t>
        </is>
      </c>
    </row>
    <row r="89" ht="16" customHeight="1">
      <c r="A89" s="14" t="inlineStr">
        <is>
          <t>Accounts Receivable</t>
        </is>
      </c>
      <c r="D89" s="17">
        <f>D45</f>
        <v/>
      </c>
      <c r="E89" s="17">
        <f>E45</f>
        <v/>
      </c>
      <c r="F89" s="17">
        <f>F45</f>
        <v/>
      </c>
      <c r="G89" s="17">
        <f>G45</f>
        <v/>
      </c>
      <c r="H89" s="17">
        <f>H45</f>
        <v/>
      </c>
      <c r="I89" s="17">
        <f>I45</f>
        <v/>
      </c>
      <c r="J89" s="17">
        <f>J45</f>
        <v/>
      </c>
      <c r="K89" s="17">
        <f>K45</f>
        <v/>
      </c>
      <c r="L89" s="17">
        <f>L45</f>
        <v/>
      </c>
      <c r="M89" s="17">
        <f>M45</f>
        <v/>
      </c>
    </row>
    <row r="90" ht="16" customHeight="1">
      <c r="A90" s="14" t="inlineStr">
        <is>
          <t>Inventory</t>
        </is>
      </c>
      <c r="D90" s="17">
        <f>D46</f>
        <v/>
      </c>
      <c r="E90" s="17">
        <f>E46</f>
        <v/>
      </c>
      <c r="F90" s="17">
        <f>F46</f>
        <v/>
      </c>
      <c r="G90" s="17">
        <f>G46</f>
        <v/>
      </c>
      <c r="H90" s="17">
        <f>H46</f>
        <v/>
      </c>
      <c r="I90" s="17">
        <f>I46</f>
        <v/>
      </c>
      <c r="J90" s="17">
        <f>J46</f>
        <v/>
      </c>
      <c r="K90" s="17">
        <f>K46</f>
        <v/>
      </c>
      <c r="L90" s="17">
        <f>L46</f>
        <v/>
      </c>
      <c r="M90" s="17">
        <f>M46</f>
        <v/>
      </c>
    </row>
    <row r="91" ht="16" customHeight="1">
      <c r="A91" s="14" t="inlineStr">
        <is>
          <t>Accounts Payable</t>
        </is>
      </c>
      <c r="D91" s="17">
        <f>D51</f>
        <v/>
      </c>
      <c r="E91" s="17">
        <f>E51</f>
        <v/>
      </c>
      <c r="F91" s="17">
        <f>F51</f>
        <v/>
      </c>
      <c r="G91" s="17">
        <f>G51</f>
        <v/>
      </c>
      <c r="H91" s="17">
        <f>H51</f>
        <v/>
      </c>
      <c r="I91" s="17">
        <f>I51</f>
        <v/>
      </c>
      <c r="J91" s="17">
        <f>J51</f>
        <v/>
      </c>
      <c r="K91" s="17">
        <f>K51</f>
        <v/>
      </c>
      <c r="L91" s="17">
        <f>L51</f>
        <v/>
      </c>
      <c r="M91" s="17">
        <f>M51</f>
        <v/>
      </c>
    </row>
    <row r="92" ht="16" customHeight="1">
      <c r="A92" s="21" t="inlineStr">
        <is>
          <t>Net Working Capital (NWC)</t>
        </is>
      </c>
      <c r="B92" s="10" t="n"/>
      <c r="C92" s="10" t="n"/>
      <c r="D92" s="22">
        <f>D89+D90-D91</f>
        <v/>
      </c>
      <c r="E92" s="22">
        <f>E89+E90-E91</f>
        <v/>
      </c>
      <c r="F92" s="22">
        <f>F89+F90-F91</f>
        <v/>
      </c>
      <c r="G92" s="22">
        <f>G89+G90-G91</f>
        <v/>
      </c>
      <c r="H92" s="22">
        <f>H89+H90-H91</f>
        <v/>
      </c>
      <c r="I92" s="22">
        <f>I89+I90-I91</f>
        <v/>
      </c>
      <c r="J92" s="22">
        <f>J89+J90-J91</f>
        <v/>
      </c>
      <c r="K92" s="22">
        <f>K89+K90-K91</f>
        <v/>
      </c>
      <c r="L92" s="22">
        <f>L89+L90-L91</f>
        <v/>
      </c>
      <c r="M92" s="22">
        <f>M89+M90-M91</f>
        <v/>
      </c>
    </row>
    <row r="93" ht="16" customHeight="1">
      <c r="A93" s="14" t="inlineStr">
        <is>
          <t>Change in NWC</t>
        </is>
      </c>
      <c r="D93" s="17">
        <f>D92-C92</f>
        <v/>
      </c>
      <c r="E93" s="17">
        <f>E92-D92</f>
        <v/>
      </c>
      <c r="F93" s="17">
        <f>F92-E92</f>
        <v/>
      </c>
      <c r="G93" s="17">
        <f>G92-F92</f>
        <v/>
      </c>
      <c r="H93" s="17">
        <f>H92-G92</f>
        <v/>
      </c>
      <c r="I93" s="17">
        <f>I92-H92</f>
        <v/>
      </c>
      <c r="J93" s="17">
        <f>J92-I92</f>
        <v/>
      </c>
      <c r="K93" s="17">
        <f>K92-J92</f>
        <v/>
      </c>
      <c r="L93" s="17">
        <f>L92-K92</f>
        <v/>
      </c>
      <c r="M93" s="17">
        <f>M92-L92</f>
        <v/>
      </c>
    </row>
    <row r="94" ht="16" customHeight="1"/>
    <row r="95" ht="16" customHeight="1">
      <c r="A95" s="8" t="inlineStr">
        <is>
          <t>Depreciation Schedule</t>
        </is>
      </c>
    </row>
    <row r="96" ht="16" customHeight="1">
      <c r="A96" s="14" t="inlineStr">
        <is>
          <t>PPE Opening</t>
        </is>
      </c>
      <c r="D96" s="18" t="n">
        <v>50000</v>
      </c>
      <c r="E96" s="17">
        <f>D99</f>
        <v/>
      </c>
      <c r="F96" s="17">
        <f>E99</f>
        <v/>
      </c>
      <c r="G96" s="17">
        <f>F99</f>
        <v/>
      </c>
      <c r="H96" s="17">
        <f>G99</f>
        <v/>
      </c>
      <c r="I96" s="17">
        <f>H99</f>
        <v/>
      </c>
      <c r="J96" s="17">
        <f>I99</f>
        <v/>
      </c>
      <c r="K96" s="17">
        <f>J99</f>
        <v/>
      </c>
      <c r="L96" s="17">
        <f>K99</f>
        <v/>
      </c>
      <c r="M96" s="17">
        <f>L99</f>
        <v/>
      </c>
    </row>
    <row r="97" ht="16" customHeight="1">
      <c r="A97" s="14" t="inlineStr">
        <is>
          <t>Plus Capex</t>
        </is>
      </c>
      <c r="D97" s="17">
        <f>D72</f>
        <v/>
      </c>
      <c r="E97" s="17">
        <f>E72</f>
        <v/>
      </c>
      <c r="F97" s="17">
        <f>F72</f>
        <v/>
      </c>
      <c r="G97" s="17">
        <f>G72</f>
        <v/>
      </c>
      <c r="H97" s="17">
        <f>H72</f>
        <v/>
      </c>
      <c r="I97" s="17">
        <f>I18</f>
        <v/>
      </c>
      <c r="J97" s="17">
        <f>J18</f>
        <v/>
      </c>
      <c r="K97" s="17">
        <f>K18</f>
        <v/>
      </c>
      <c r="L97" s="17">
        <f>L18</f>
        <v/>
      </c>
      <c r="M97" s="17">
        <f>M18</f>
        <v/>
      </c>
    </row>
    <row r="98" ht="16" customHeight="1">
      <c r="A98" s="14" t="inlineStr">
        <is>
          <t>Less Depreciation</t>
        </is>
      </c>
      <c r="D98" s="17">
        <f>D67</f>
        <v/>
      </c>
      <c r="E98" s="17">
        <f>E67</f>
        <v/>
      </c>
      <c r="F98" s="17">
        <f>F67</f>
        <v/>
      </c>
      <c r="G98" s="17">
        <f>G67</f>
        <v/>
      </c>
      <c r="H98" s="17">
        <f>H67</f>
        <v/>
      </c>
      <c r="I98" s="17">
        <f>I96*I12</f>
        <v/>
      </c>
      <c r="J98" s="17">
        <f>J96*J12</f>
        <v/>
      </c>
      <c r="K98" s="17">
        <f>K96*K12</f>
        <v/>
      </c>
      <c r="L98" s="17">
        <f>L96*L12</f>
        <v/>
      </c>
      <c r="M98" s="17">
        <f>M96*M12</f>
        <v/>
      </c>
    </row>
    <row r="99" ht="16" customHeight="1">
      <c r="A99" s="14" t="inlineStr">
        <is>
          <t>PPE Closing</t>
        </is>
      </c>
      <c r="D99" s="17">
        <f>D96+D97-D98</f>
        <v/>
      </c>
      <c r="E99" s="17">
        <f>E96+E97-E98</f>
        <v/>
      </c>
      <c r="F99" s="17">
        <f>F96+F97-F98</f>
        <v/>
      </c>
      <c r="G99" s="17">
        <f>G96+G97-G98</f>
        <v/>
      </c>
      <c r="H99" s="17">
        <f>H96+H97-H98</f>
        <v/>
      </c>
      <c r="I99" s="17">
        <f>I96+I97-I98</f>
        <v/>
      </c>
      <c r="J99" s="17">
        <f>J96+J97-J98</f>
        <v/>
      </c>
      <c r="K99" s="17">
        <f>K96+K97-K98</f>
        <v/>
      </c>
      <c r="L99" s="17">
        <f>L96+L97-L98</f>
        <v/>
      </c>
      <c r="M99" s="17">
        <f>M96+M97-M98</f>
        <v/>
      </c>
    </row>
    <row r="100" ht="16" customHeight="1"/>
    <row r="101" ht="16" customHeight="1">
      <c r="A101" s="8" t="inlineStr">
        <is>
          <t>Debt &amp; Interest Schedule</t>
        </is>
      </c>
    </row>
    <row r="102" ht="16" customHeight="1">
      <c r="A102" s="14" t="inlineStr">
        <is>
          <t>Debt Opening</t>
        </is>
      </c>
      <c r="D102" s="18" t="n">
        <v>50000</v>
      </c>
      <c r="E102" s="17">
        <f>D104</f>
        <v/>
      </c>
      <c r="F102" s="17">
        <f>E104</f>
        <v/>
      </c>
      <c r="G102" s="17">
        <f>F104</f>
        <v/>
      </c>
      <c r="H102" s="17">
        <f>G104</f>
        <v/>
      </c>
      <c r="I102" s="17">
        <f>H104</f>
        <v/>
      </c>
      <c r="J102" s="17">
        <f>I104</f>
        <v/>
      </c>
      <c r="K102" s="17">
        <f>J104</f>
        <v/>
      </c>
      <c r="L102" s="17">
        <f>K104</f>
        <v/>
      </c>
      <c r="M102" s="17">
        <f>L104</f>
        <v/>
      </c>
    </row>
    <row r="103" ht="16" customHeight="1">
      <c r="A103" s="14" t="inlineStr">
        <is>
          <t>Issuance (repayment)</t>
        </is>
      </c>
      <c r="D103" s="17">
        <f>D76</f>
        <v/>
      </c>
      <c r="E103" s="17">
        <f>E76</f>
        <v/>
      </c>
      <c r="F103" s="17">
        <f>F76</f>
        <v/>
      </c>
      <c r="G103" s="17">
        <f>G76</f>
        <v/>
      </c>
      <c r="H103" s="17">
        <f>H76</f>
        <v/>
      </c>
      <c r="I103" s="17">
        <f>I19</f>
        <v/>
      </c>
      <c r="J103" s="17">
        <f>J19</f>
        <v/>
      </c>
      <c r="K103" s="17">
        <f>K19</f>
        <v/>
      </c>
      <c r="L103" s="17">
        <f>L19</f>
        <v/>
      </c>
      <c r="M103" s="17">
        <f>M19</f>
        <v/>
      </c>
    </row>
    <row r="104" ht="16" customHeight="1">
      <c r="A104" s="14" t="inlineStr">
        <is>
          <t>Debt Closing</t>
        </is>
      </c>
      <c r="D104" s="17">
        <f>D102+D103</f>
        <v/>
      </c>
      <c r="E104" s="17">
        <f>E102+E103</f>
        <v/>
      </c>
      <c r="F104" s="17">
        <f>F102+F103</f>
        <v/>
      </c>
      <c r="G104" s="17">
        <f>G102+G103</f>
        <v/>
      </c>
      <c r="H104" s="17">
        <f>H102+H103</f>
        <v/>
      </c>
      <c r="I104" s="17">
        <f>I102+I103</f>
        <v/>
      </c>
      <c r="J104" s="17">
        <f>J102+J103</f>
        <v/>
      </c>
      <c r="K104" s="17">
        <f>K102+K103</f>
        <v/>
      </c>
      <c r="L104" s="17">
        <f>L102+L103</f>
        <v/>
      </c>
      <c r="M104" s="17">
        <f>M102+M103</f>
        <v/>
      </c>
    </row>
    <row r="105" ht="16" customHeight="1">
      <c r="A105" s="14" t="inlineStr">
        <is>
          <t>Interest Expense</t>
        </is>
      </c>
      <c r="D105" s="17">
        <f>D33</f>
        <v/>
      </c>
      <c r="E105" s="17">
        <f>E33</f>
        <v/>
      </c>
      <c r="F105" s="17">
        <f>F33</f>
        <v/>
      </c>
      <c r="G105" s="17">
        <f>G33</f>
        <v/>
      </c>
      <c r="H105" s="17">
        <f>H33</f>
        <v/>
      </c>
      <c r="I105" s="17">
        <f>AVERAGE(I102,I104)*I13</f>
        <v/>
      </c>
      <c r="J105" s="17">
        <f>AVERAGE(J102,J104)*J13</f>
        <v/>
      </c>
      <c r="K105" s="17">
        <f>AVERAGE(K102,K104)*K13</f>
        <v/>
      </c>
      <c r="L105" s="17">
        <f>AVERAGE(L102,L104)*L13</f>
        <v/>
      </c>
      <c r="M105" s="17">
        <f>AVERAGE(M102,M104)*M13</f>
        <v/>
      </c>
    </row>
    <row r="106" ht="16" customHeight="1"/>
    <row r="107" ht="16" customHeight="1"/>
    <row r="108" ht="16" customHeight="1"/>
    <row r="109" ht="20" customHeight="1">
      <c r="A109" s="7" t="inlineStr">
        <is>
          <t>Charts and Graphs</t>
        </is>
      </c>
    </row>
    <row r="110" ht="16" customHeight="1"/>
    <row r="111" ht="16" customHeight="1">
      <c r="A111" s="14" t="inlineStr">
        <is>
          <t>Revenue</t>
        </is>
      </c>
      <c r="D111" s="17">
        <f>D26</f>
        <v/>
      </c>
      <c r="E111" s="17">
        <f>E26</f>
        <v/>
      </c>
      <c r="F111" s="17">
        <f>F26</f>
        <v/>
      </c>
      <c r="G111" s="17">
        <f>G26</f>
        <v/>
      </c>
      <c r="H111" s="17">
        <f>H26</f>
        <v/>
      </c>
      <c r="I111" s="17">
        <f>I26</f>
        <v/>
      </c>
      <c r="J111" s="17">
        <f>J26</f>
        <v/>
      </c>
      <c r="K111" s="17">
        <f>K26</f>
        <v/>
      </c>
      <c r="L111" s="17">
        <f>L26</f>
        <v/>
      </c>
      <c r="M111" s="17">
        <f>M26</f>
        <v/>
      </c>
    </row>
    <row r="112" ht="16" customHeight="1">
      <c r="A112" s="14" t="inlineStr">
        <is>
          <t>Gross Profit Margin (%)</t>
        </is>
      </c>
      <c r="D112" s="34">
        <f>D28/D26</f>
        <v/>
      </c>
      <c r="E112" s="34">
        <f>E28/E26</f>
        <v/>
      </c>
      <c r="F112" s="34">
        <f>F28/F26</f>
        <v/>
      </c>
      <c r="G112" s="34">
        <f>G28/G26</f>
        <v/>
      </c>
      <c r="H112" s="34">
        <f>H28/H26</f>
        <v/>
      </c>
      <c r="I112" s="34">
        <f>I28/I26</f>
        <v/>
      </c>
      <c r="J112" s="34">
        <f>J28/J26</f>
        <v/>
      </c>
      <c r="K112" s="34">
        <f>K28/K26</f>
        <v/>
      </c>
      <c r="L112" s="34">
        <f>L28/L26</f>
        <v/>
      </c>
      <c r="M112" s="34">
        <f>M28/M26</f>
        <v/>
      </c>
    </row>
    <row r="113" ht="16" customHeight="1"/>
    <row r="114" ht="16" customHeight="1">
      <c r="A114" s="14" t="inlineStr">
        <is>
          <t>Operating Cash Flow</t>
        </is>
      </c>
      <c r="D114" s="17">
        <f>D69</f>
        <v/>
      </c>
      <c r="E114" s="17">
        <f>E69</f>
        <v/>
      </c>
      <c r="F114" s="17">
        <f>F69</f>
        <v/>
      </c>
      <c r="G114" s="17">
        <f>G69</f>
        <v/>
      </c>
      <c r="H114" s="17">
        <f>H69</f>
        <v/>
      </c>
      <c r="I114" s="17">
        <f>I69</f>
        <v/>
      </c>
      <c r="J114" s="17">
        <f>J69</f>
        <v/>
      </c>
      <c r="K114" s="17">
        <f>K69</f>
        <v/>
      </c>
      <c r="L114" s="17">
        <f>L69</f>
        <v/>
      </c>
      <c r="M114" s="17">
        <f>M69</f>
        <v/>
      </c>
    </row>
    <row r="115" ht="16" customHeight="1">
      <c r="A115" s="14" t="inlineStr">
        <is>
          <t>Investing Cash Flow</t>
        </is>
      </c>
      <c r="D115" s="17">
        <f>-D73</f>
        <v/>
      </c>
      <c r="E115" s="17">
        <f>-E73</f>
        <v/>
      </c>
      <c r="F115" s="17">
        <f>-F73</f>
        <v/>
      </c>
      <c r="G115" s="17">
        <f>-G73</f>
        <v/>
      </c>
      <c r="H115" s="17">
        <f>-H73</f>
        <v/>
      </c>
      <c r="I115" s="17">
        <f>-I73</f>
        <v/>
      </c>
      <c r="J115" s="17">
        <f>-J73</f>
        <v/>
      </c>
      <c r="K115" s="17">
        <f>-K73</f>
        <v/>
      </c>
      <c r="L115" s="17">
        <f>-L73</f>
        <v/>
      </c>
      <c r="M115" s="17">
        <f>-M73</f>
        <v/>
      </c>
    </row>
    <row r="116" ht="16" customHeight="1">
      <c r="A116" s="14" t="inlineStr">
        <is>
          <t>Financing Cash Flow</t>
        </is>
      </c>
      <c r="D116" s="17">
        <f>D78</f>
        <v/>
      </c>
      <c r="E116" s="17">
        <f>E78</f>
        <v/>
      </c>
      <c r="F116" s="17">
        <f>F78</f>
        <v/>
      </c>
      <c r="G116" s="17">
        <f>G78</f>
        <v/>
      </c>
      <c r="H116" s="17">
        <f>H78</f>
        <v/>
      </c>
      <c r="I116" s="17">
        <f>I78</f>
        <v/>
      </c>
      <c r="J116" s="17">
        <f>J78</f>
        <v/>
      </c>
      <c r="K116" s="17">
        <f>K78</f>
        <v/>
      </c>
      <c r="L116" s="17">
        <f>L78</f>
        <v/>
      </c>
      <c r="M116" s="17">
        <f>M78</f>
        <v/>
      </c>
    </row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</sheetData>
  <mergeCells count="2">
    <mergeCell ref="I1:M1"/>
    <mergeCell ref="D1:H1"/>
  </mergeCells>
  <conditionalFormatting sqref="D3:M3">
    <cfRule type="containsText" priority="1" operator="containsText" dxfId="0" text="ERROR">
      <formula>NOT(ISERROR(SEARCH("ERROR",D3)))</formula>
    </cfRule>
    <cfRule type="containsText" priority="2" operator="containsText" dxfId="1" text="OK">
      <formula>NOT(ISERROR(SEARCH("OK",D3)))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2026-07-08T15:46:57Z</dcterms:created>
  <dcterms:modified xsi:type="dcterms:W3CDTF">2026-07-08T15:46:57Z</dcterms:modified>
</cp:coreProperties>
</file>